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externalReferences>
    <externalReference r:id="rId2"/>
  </externalReferenc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/>
  <c r="E28"/>
  <c r="E27"/>
  <c r="H27"/>
  <c r="E40"/>
  <c r="E32"/>
  <c r="E20"/>
  <c r="H50" l="1"/>
  <c r="E50"/>
  <c r="H49"/>
  <c r="E49"/>
  <c r="H48"/>
  <c r="E48"/>
  <c r="H47"/>
  <c r="E47"/>
  <c r="H46"/>
  <c r="E46"/>
  <c r="H45"/>
  <c r="E45"/>
  <c r="H44"/>
  <c r="E44"/>
  <c r="H43"/>
  <c r="E43"/>
  <c r="H42"/>
  <c r="E42"/>
  <c r="H41"/>
  <c r="E41"/>
  <c r="H40"/>
  <c r="H39"/>
  <c r="E39"/>
  <c r="H38"/>
  <c r="E36"/>
  <c r="H36" s="1"/>
  <c r="H37" s="1"/>
  <c r="H34"/>
  <c r="E34"/>
  <c r="H33"/>
  <c r="E33"/>
  <c r="H32"/>
  <c r="H31"/>
  <c r="E31"/>
  <c r="E30"/>
  <c r="H30" s="1"/>
  <c r="H29"/>
  <c r="E29"/>
  <c r="H26"/>
  <c r="E26"/>
  <c r="H25"/>
  <c r="E25"/>
  <c r="H24"/>
  <c r="E24"/>
  <c r="H23"/>
  <c r="E23"/>
  <c r="E19"/>
  <c r="E18"/>
  <c r="G17"/>
  <c r="G18" s="1"/>
  <c r="G19" s="1"/>
  <c r="G20" s="1"/>
  <c r="H20" s="1"/>
  <c r="E17"/>
  <c r="G12"/>
  <c r="G11"/>
  <c r="C11"/>
  <c r="E11" s="1"/>
  <c r="G8"/>
  <c r="G7"/>
  <c r="C7"/>
  <c r="E7" s="1"/>
  <c r="H18" l="1"/>
  <c r="H17"/>
  <c r="E35"/>
  <c r="H11"/>
  <c r="H51"/>
  <c r="E51"/>
  <c r="E21"/>
  <c r="C8"/>
  <c r="E8" s="1"/>
  <c r="H8" s="1"/>
  <c r="G35"/>
  <c r="H7"/>
  <c r="C12"/>
  <c r="H19"/>
  <c r="G21" l="1"/>
  <c r="C9"/>
  <c r="E9" s="1"/>
  <c r="H9" s="1"/>
  <c r="G10" s="1"/>
  <c r="C13"/>
  <c r="E13" s="1"/>
  <c r="H13" s="1"/>
  <c r="E12"/>
  <c r="H12" s="1"/>
  <c r="G14" l="1"/>
  <c r="H52" s="1"/>
  <c r="E14"/>
  <c r="E52" s="1"/>
  <c r="E53" s="1"/>
  <c r="E54" s="1"/>
</calcChain>
</file>

<file path=xl/sharedStrings.xml><?xml version="1.0" encoding="utf-8"?>
<sst xmlns="http://schemas.openxmlformats.org/spreadsheetml/2006/main" count="114" uniqueCount="72">
  <si>
    <t>Plate Combination</t>
  </si>
  <si>
    <t>OTHER COST</t>
  </si>
  <si>
    <t>DISCRIPTION ( TUBULAR POS. &amp; NEG.)</t>
  </si>
  <si>
    <t>Nos per 
battery</t>
  </si>
  <si>
    <t xml:space="preserve">Weight per Nos.
</t>
  </si>
  <si>
    <t>UOM</t>
  </si>
  <si>
    <t>A)</t>
  </si>
  <si>
    <t>Plate Making</t>
  </si>
  <si>
    <t>BASIC RATE</t>
  </si>
  <si>
    <t>TOTAL COST</t>
  </si>
  <si>
    <t>I)</t>
  </si>
  <si>
    <t>Grid alloy- 2.5% Sb Alloy</t>
  </si>
  <si>
    <t>Kg</t>
  </si>
  <si>
    <t>Dry Active Material</t>
  </si>
  <si>
    <t>SO4</t>
  </si>
  <si>
    <t>II)</t>
  </si>
  <si>
    <t>Negative Plate (200X164X2.9)</t>
  </si>
  <si>
    <t>Grid alloy- 1.6% Sb Alloy</t>
  </si>
  <si>
    <t xml:space="preserve">Dry Active Material  </t>
  </si>
  <si>
    <t>Sub-total Plates Material</t>
  </si>
  <si>
    <t>B)</t>
  </si>
  <si>
    <t>ASSEMBLY</t>
  </si>
  <si>
    <t>Lead Parts alloy -2.5% Sb</t>
  </si>
  <si>
    <t>End strape</t>
  </si>
  <si>
    <t>Terminal</t>
  </si>
  <si>
    <t>Enter strape</t>
  </si>
  <si>
    <t>Group burning</t>
  </si>
  <si>
    <t>Sub-total Lead Parts</t>
  </si>
  <si>
    <t>C)</t>
  </si>
  <si>
    <t>Bought Out - RM Components</t>
  </si>
  <si>
    <t>Container (I.T-500 )</t>
  </si>
  <si>
    <t xml:space="preserve">Handle </t>
  </si>
  <si>
    <t>Top Cover (I.T-500)</t>
  </si>
  <si>
    <t>Vent Plug - M30 (Dummy)</t>
  </si>
  <si>
    <t>Coint Vent - M22</t>
  </si>
  <si>
    <t>PE Separator (215X355X1.6)</t>
  </si>
  <si>
    <t xml:space="preserve">Side packing /Buffer </t>
  </si>
  <si>
    <t>Bottom Bar</t>
  </si>
  <si>
    <t>Top Bar</t>
  </si>
  <si>
    <t>Groomut/Rubber bush</t>
  </si>
  <si>
    <t>TOTAL RM COMPONENTS WEIGHT</t>
  </si>
  <si>
    <t>D)</t>
  </si>
  <si>
    <r>
      <t xml:space="preserve">Acid Sp.Gr </t>
    </r>
    <r>
      <rPr>
        <b/>
        <sz val="12"/>
        <rFont val="Arial"/>
        <family val="2"/>
      </rPr>
      <t xml:space="preserve"> @27</t>
    </r>
    <r>
      <rPr>
        <b/>
        <sz val="12"/>
        <rFont val="Calibri"/>
        <family val="2"/>
      </rPr>
      <t>◦c</t>
    </r>
  </si>
  <si>
    <t>Ltrs/Kg</t>
  </si>
  <si>
    <t>E)</t>
  </si>
  <si>
    <t xml:space="preserve">Packing Material </t>
  </si>
  <si>
    <t>Carton Box (I.T-500)</t>
  </si>
  <si>
    <t>Battery Label</t>
  </si>
  <si>
    <t>Thermocol (Top)</t>
  </si>
  <si>
    <t>Thermocol (Bottom)</t>
  </si>
  <si>
    <t>Hardware</t>
  </si>
  <si>
    <t>Water Level Indicator</t>
  </si>
  <si>
    <t>Barcode Sticker</t>
  </si>
  <si>
    <t>Model Sticker</t>
  </si>
  <si>
    <t>Warranty Card</t>
  </si>
  <si>
    <t>Petrolium Jelly Pouch</t>
  </si>
  <si>
    <t>Poly Pouch for battery packing</t>
  </si>
  <si>
    <t xml:space="preserve">Poly Pouch for Warranty Card </t>
  </si>
  <si>
    <t xml:space="preserve">Adhesive Tape </t>
  </si>
  <si>
    <t>TOTAL PACKING MATERIAL WEIGHT</t>
  </si>
  <si>
    <t>DRY BATTERY WEIGHT</t>
  </si>
  <si>
    <t>MFG. COST</t>
  </si>
  <si>
    <t>CHARGED BATTERY WEIGHT</t>
  </si>
  <si>
    <t>PACKED BATTERY WEIGHT</t>
  </si>
  <si>
    <t>2+3</t>
  </si>
  <si>
    <t>Total weight</t>
  </si>
  <si>
    <t>135Ah @C20 Capacity</t>
  </si>
  <si>
    <t xml:space="preserve">135Ah @c20    BACKUP - 2:40 ± 05 Hrs  </t>
  </si>
  <si>
    <t>Positive Plate (200x8x18T.)</t>
  </si>
  <si>
    <t xml:space="preserve">BOM  - (MODEL- 200mm*8mm)   </t>
  </si>
  <si>
    <t>Tubular Bag (200x8x18T)</t>
  </si>
  <si>
    <t>Bottom Stand (Gutka)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</si>
</sst>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B050"/>
      <name val="Calibri"/>
      <family val="2"/>
    </font>
    <font>
      <sz val="12"/>
      <color rgb="FF00B05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2" fontId="12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12" fillId="4" borderId="4" xfId="0" applyNumberFormat="1" applyFont="1" applyFill="1" applyBorder="1" applyAlignment="1">
      <alignment horizontal="center" vertical="center"/>
    </xf>
    <xf numFmtId="2" fontId="12" fillId="4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vertical="top" wrapText="1"/>
    </xf>
    <xf numFmtId="165" fontId="12" fillId="4" borderId="4" xfId="0" applyNumberFormat="1" applyFont="1" applyFill="1" applyBorder="1" applyAlignment="1">
      <alignment horizontal="center" vertical="top" wrapText="1"/>
    </xf>
    <xf numFmtId="0" fontId="11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4" borderId="4" xfId="0" quotePrefix="1" applyFont="1" applyFill="1" applyBorder="1" applyAlignment="1">
      <alignment horizontal="center" vertical="top" wrapText="1"/>
    </xf>
    <xf numFmtId="2" fontId="5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3" borderId="4" xfId="1" applyFont="1" applyFill="1" applyBorder="1" applyAlignment="1" applyProtection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Bom%20actual-31.03.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itive plate"/>
      <sheetName val="Negative Plate"/>
      <sheetName val="Summary"/>
      <sheetName val="Lead price"/>
      <sheetName val="1-jt 1600"/>
      <sheetName val="2-1800 jt"/>
      <sheetName val="3-200 jt"/>
      <sheetName val="4-TT160-36"/>
      <sheetName val="5-TT175-36"/>
      <sheetName val="6-TT180-36"/>
      <sheetName val="7-TT200-36"/>
      <sheetName val="8-22036"/>
      <sheetName val="9-TT260-60"/>
      <sheetName val="10-TT300-24"/>
      <sheetName val="24036"/>
      <sheetName val="ner 18036"/>
      <sheetName val="new 17536"/>
      <sheetName val="1900 jt"/>
      <sheetName val="jt 1500"/>
    </sheetNames>
    <sheetDataSet>
      <sheetData sheetId="0"/>
      <sheetData sheetId="1"/>
      <sheetData sheetId="2"/>
      <sheetData sheetId="3">
        <row r="2">
          <cell r="F2">
            <v>188</v>
          </cell>
        </row>
        <row r="4">
          <cell r="F4">
            <v>234</v>
          </cell>
        </row>
        <row r="5">
          <cell r="F5">
            <v>237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40@c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>
      <selection activeCell="H32" sqref="H32"/>
    </sheetView>
  </sheetViews>
  <sheetFormatPr defaultRowHeight="15"/>
  <cols>
    <col min="2" max="2" width="34.85546875" customWidth="1"/>
    <col min="3" max="3" width="8.42578125" bestFit="1" customWidth="1"/>
    <col min="4" max="4" width="10.85546875" bestFit="1" customWidth="1"/>
  </cols>
  <sheetData>
    <row r="1" spans="1:8" ht="18">
      <c r="A1" s="45" t="s">
        <v>69</v>
      </c>
      <c r="B1" s="46"/>
      <c r="C1" s="46"/>
      <c r="D1" s="46"/>
      <c r="E1" s="46"/>
      <c r="F1" s="46"/>
      <c r="G1" s="46"/>
      <c r="H1" s="47"/>
    </row>
    <row r="2" spans="1:8">
      <c r="A2" s="48" t="s">
        <v>66</v>
      </c>
      <c r="B2" s="48"/>
      <c r="C2" s="49" t="s">
        <v>0</v>
      </c>
      <c r="D2" s="49"/>
      <c r="E2" s="50" t="s">
        <v>64</v>
      </c>
      <c r="F2" s="51"/>
      <c r="G2" s="54" t="s">
        <v>1</v>
      </c>
      <c r="H2" s="57"/>
    </row>
    <row r="3" spans="1:8">
      <c r="A3" s="60" t="s">
        <v>67</v>
      </c>
      <c r="B3" s="61"/>
      <c r="C3" s="49"/>
      <c r="D3" s="49"/>
      <c r="E3" s="52"/>
      <c r="F3" s="53"/>
      <c r="G3" s="55"/>
      <c r="H3" s="58"/>
    </row>
    <row r="4" spans="1:8" ht="38.25">
      <c r="A4" s="62" t="s">
        <v>2</v>
      </c>
      <c r="B4" s="62"/>
      <c r="C4" s="1" t="s">
        <v>3</v>
      </c>
      <c r="D4" s="1" t="s">
        <v>4</v>
      </c>
      <c r="E4" s="1" t="s">
        <v>65</v>
      </c>
      <c r="F4" s="2" t="s">
        <v>5</v>
      </c>
      <c r="G4" s="56"/>
      <c r="H4" s="59"/>
    </row>
    <row r="5" spans="1:8" ht="15.75">
      <c r="A5" s="3" t="s">
        <v>6</v>
      </c>
      <c r="B5" s="29" t="s">
        <v>7</v>
      </c>
      <c r="C5" s="29"/>
      <c r="D5" s="29"/>
      <c r="E5" s="29"/>
      <c r="F5" s="29"/>
      <c r="G5" s="30" t="s">
        <v>8</v>
      </c>
      <c r="H5" s="30" t="s">
        <v>9</v>
      </c>
    </row>
    <row r="6" spans="1:8" ht="15.75">
      <c r="A6" s="4" t="s">
        <v>10</v>
      </c>
      <c r="B6" s="5" t="s">
        <v>68</v>
      </c>
      <c r="C6" s="44">
        <v>12</v>
      </c>
      <c r="D6" s="44"/>
      <c r="E6" s="44"/>
      <c r="F6" s="6"/>
      <c r="G6" s="30"/>
      <c r="H6" s="30"/>
    </row>
    <row r="7" spans="1:8" ht="18.75">
      <c r="A7" s="6">
        <v>1</v>
      </c>
      <c r="B7" s="7" t="s">
        <v>11</v>
      </c>
      <c r="C7" s="6">
        <f>C6</f>
        <v>12</v>
      </c>
      <c r="D7" s="8">
        <v>0.32400000000000001</v>
      </c>
      <c r="E7" s="9">
        <f>C7*D7</f>
        <v>3.8879999999999999</v>
      </c>
      <c r="F7" s="6" t="s">
        <v>12</v>
      </c>
      <c r="G7" s="10">
        <f>'[1]Lead price'!F4</f>
        <v>234</v>
      </c>
      <c r="H7" s="10">
        <f>E7*G7</f>
        <v>909.79200000000003</v>
      </c>
    </row>
    <row r="8" spans="1:8">
      <c r="A8" s="6">
        <v>2</v>
      </c>
      <c r="B8" s="7" t="s">
        <v>13</v>
      </c>
      <c r="C8" s="6">
        <f>C7</f>
        <v>12</v>
      </c>
      <c r="D8" s="11">
        <v>0.59</v>
      </c>
      <c r="E8" s="12">
        <f>C8*D8</f>
        <v>7.08</v>
      </c>
      <c r="F8" s="6" t="s">
        <v>12</v>
      </c>
      <c r="G8" s="10">
        <f>'[1]Lead price'!F2</f>
        <v>188</v>
      </c>
      <c r="H8" s="10">
        <f>E8*G8</f>
        <v>1331.04</v>
      </c>
    </row>
    <row r="9" spans="1:8">
      <c r="A9" s="6">
        <v>3</v>
      </c>
      <c r="B9" s="7" t="s">
        <v>14</v>
      </c>
      <c r="C9" s="6">
        <f>C8</f>
        <v>12</v>
      </c>
      <c r="D9" s="11">
        <v>0.15</v>
      </c>
      <c r="E9" s="12">
        <f>C9*D9</f>
        <v>1.7999999999999998</v>
      </c>
      <c r="F9" s="6" t="s">
        <v>12</v>
      </c>
      <c r="G9" s="13">
        <v>0</v>
      </c>
      <c r="H9" s="10">
        <f>E9*G9</f>
        <v>0</v>
      </c>
    </row>
    <row r="10" spans="1:8" ht="15.75">
      <c r="A10" s="4" t="s">
        <v>15</v>
      </c>
      <c r="B10" s="5" t="s">
        <v>16</v>
      </c>
      <c r="C10" s="44">
        <v>18</v>
      </c>
      <c r="D10" s="44"/>
      <c r="E10" s="44"/>
      <c r="F10" s="6"/>
      <c r="G10" s="31">
        <f>H7+H8+H9</f>
        <v>2240.8319999999999</v>
      </c>
      <c r="H10" s="32"/>
    </row>
    <row r="11" spans="1:8" ht="18.75">
      <c r="A11" s="6">
        <v>4</v>
      </c>
      <c r="B11" s="7" t="s">
        <v>17</v>
      </c>
      <c r="C11" s="6">
        <f>C10</f>
        <v>18</v>
      </c>
      <c r="D11" s="14">
        <v>0.15</v>
      </c>
      <c r="E11" s="11">
        <f>C11*D11</f>
        <v>2.6999999999999997</v>
      </c>
      <c r="F11" s="6" t="s">
        <v>12</v>
      </c>
      <c r="G11" s="10">
        <f>'[1]Lead price'!F4</f>
        <v>234</v>
      </c>
      <c r="H11" s="10">
        <f>E11*G11</f>
        <v>631.79999999999995</v>
      </c>
    </row>
    <row r="12" spans="1:8" ht="15.75">
      <c r="A12" s="6">
        <v>5</v>
      </c>
      <c r="B12" s="7" t="s">
        <v>18</v>
      </c>
      <c r="C12" s="6">
        <f>C11</f>
        <v>18</v>
      </c>
      <c r="D12" s="15">
        <v>0.34</v>
      </c>
      <c r="E12" s="11">
        <f>C12*D12</f>
        <v>6.12</v>
      </c>
      <c r="F12" s="6" t="s">
        <v>12</v>
      </c>
      <c r="G12" s="10">
        <f>'[1]Lead price'!F2</f>
        <v>188</v>
      </c>
      <c r="H12" s="10">
        <f>E12*G12</f>
        <v>1150.56</v>
      </c>
    </row>
    <row r="13" spans="1:8" ht="15.75">
      <c r="A13" s="6">
        <v>6</v>
      </c>
      <c r="B13" s="7" t="s">
        <v>14</v>
      </c>
      <c r="C13" s="6">
        <f>C12</f>
        <v>18</v>
      </c>
      <c r="D13" s="15">
        <v>0.02</v>
      </c>
      <c r="E13" s="11">
        <f>C13*D13</f>
        <v>0.36</v>
      </c>
      <c r="F13" s="6" t="s">
        <v>12</v>
      </c>
      <c r="G13" s="13">
        <v>0</v>
      </c>
      <c r="H13" s="10">
        <f>E13*G13</f>
        <v>0</v>
      </c>
    </row>
    <row r="14" spans="1:8" ht="15.75">
      <c r="A14" s="29" t="s">
        <v>19</v>
      </c>
      <c r="B14" s="29"/>
      <c r="C14" s="29"/>
      <c r="D14" s="29"/>
      <c r="E14" s="16">
        <f>E7+E8+E9+E11+E12+E13</f>
        <v>21.948</v>
      </c>
      <c r="F14" s="6" t="s">
        <v>12</v>
      </c>
      <c r="G14" s="31">
        <f>H11+H12+H13</f>
        <v>1782.36</v>
      </c>
      <c r="H14" s="32"/>
    </row>
    <row r="15" spans="1:8" ht="15.75">
      <c r="A15" s="3" t="s">
        <v>20</v>
      </c>
      <c r="B15" s="29" t="s">
        <v>21</v>
      </c>
      <c r="C15" s="29"/>
      <c r="D15" s="29"/>
      <c r="E15" s="29"/>
      <c r="F15" s="29"/>
      <c r="G15" s="17"/>
      <c r="H15" s="18"/>
    </row>
    <row r="16" spans="1:8" ht="15.75">
      <c r="A16" s="6">
        <v>7</v>
      </c>
      <c r="B16" s="41" t="s">
        <v>22</v>
      </c>
      <c r="C16" s="42"/>
      <c r="D16" s="42"/>
      <c r="E16" s="42"/>
      <c r="F16" s="42"/>
      <c r="G16" s="42"/>
      <c r="H16" s="43"/>
    </row>
    <row r="17" spans="1:8">
      <c r="A17" s="6">
        <v>8</v>
      </c>
      <c r="B17" s="7" t="s">
        <v>23</v>
      </c>
      <c r="C17" s="6">
        <v>2</v>
      </c>
      <c r="D17" s="6">
        <v>0.125</v>
      </c>
      <c r="E17" s="6">
        <f>C17*D17</f>
        <v>0.25</v>
      </c>
      <c r="F17" s="6" t="s">
        <v>12</v>
      </c>
      <c r="G17" s="10">
        <f>'[1]Lead price'!F5</f>
        <v>237</v>
      </c>
      <c r="H17" s="10">
        <f>E17*G17</f>
        <v>59.25</v>
      </c>
    </row>
    <row r="18" spans="1:8">
      <c r="A18" s="6">
        <v>9</v>
      </c>
      <c r="B18" s="7" t="s">
        <v>24</v>
      </c>
      <c r="C18" s="6">
        <v>2</v>
      </c>
      <c r="D18" s="6">
        <v>0.09</v>
      </c>
      <c r="E18" s="6">
        <f>C18*D18</f>
        <v>0.18</v>
      </c>
      <c r="F18" s="6" t="s">
        <v>12</v>
      </c>
      <c r="G18" s="10">
        <f>G17</f>
        <v>237</v>
      </c>
      <c r="H18" s="10">
        <f t="shared" ref="H18:H20" si="0">E18*G18</f>
        <v>42.66</v>
      </c>
    </row>
    <row r="19" spans="1:8">
      <c r="A19" s="6">
        <v>10</v>
      </c>
      <c r="B19" s="7" t="s">
        <v>25</v>
      </c>
      <c r="C19" s="6">
        <v>10</v>
      </c>
      <c r="D19" s="6">
        <v>4.4999999999999998E-2</v>
      </c>
      <c r="E19" s="6">
        <f>C19*D19</f>
        <v>0.44999999999999996</v>
      </c>
      <c r="F19" s="6" t="s">
        <v>12</v>
      </c>
      <c r="G19" s="10">
        <f>G18</f>
        <v>237</v>
      </c>
      <c r="H19" s="10">
        <f t="shared" si="0"/>
        <v>106.64999999999999</v>
      </c>
    </row>
    <row r="20" spans="1:8" ht="15.75">
      <c r="A20" s="6">
        <v>11</v>
      </c>
      <c r="B20" s="7" t="s">
        <v>26</v>
      </c>
      <c r="C20" s="44">
        <v>0.5</v>
      </c>
      <c r="D20" s="44"/>
      <c r="E20" s="6">
        <f>C20</f>
        <v>0.5</v>
      </c>
      <c r="F20" s="19" t="s">
        <v>12</v>
      </c>
      <c r="G20" s="10">
        <f>G19</f>
        <v>237</v>
      </c>
      <c r="H20" s="10">
        <f t="shared" si="0"/>
        <v>118.5</v>
      </c>
    </row>
    <row r="21" spans="1:8" ht="15.75">
      <c r="A21" s="29" t="s">
        <v>27</v>
      </c>
      <c r="B21" s="29"/>
      <c r="C21" s="29"/>
      <c r="D21" s="29"/>
      <c r="E21" s="16">
        <f>E17+E19+E20+E18</f>
        <v>1.38</v>
      </c>
      <c r="F21" s="19" t="s">
        <v>12</v>
      </c>
      <c r="G21" s="31">
        <f>H17+H18+H19+H20</f>
        <v>327.06</v>
      </c>
      <c r="H21" s="32"/>
    </row>
    <row r="22" spans="1:8" ht="15.75">
      <c r="A22" s="3" t="s">
        <v>28</v>
      </c>
      <c r="B22" s="29" t="s">
        <v>29</v>
      </c>
      <c r="C22" s="29"/>
      <c r="D22" s="29"/>
      <c r="E22" s="29"/>
      <c r="F22" s="29"/>
      <c r="G22" s="10"/>
      <c r="H22" s="10"/>
    </row>
    <row r="23" spans="1:8" ht="15.75">
      <c r="A23" s="6">
        <v>12</v>
      </c>
      <c r="B23" s="7" t="s">
        <v>30</v>
      </c>
      <c r="C23" s="20">
        <v>1</v>
      </c>
      <c r="D23" s="20">
        <v>2.6</v>
      </c>
      <c r="E23" s="6">
        <f>C23*D23</f>
        <v>2.6</v>
      </c>
      <c r="F23" s="19" t="s">
        <v>12</v>
      </c>
      <c r="G23" s="10">
        <v>420</v>
      </c>
      <c r="H23" s="10">
        <f t="shared" ref="H23:H29" si="1">C23*G23</f>
        <v>420</v>
      </c>
    </row>
    <row r="24" spans="1:8" ht="15.75">
      <c r="A24" s="6">
        <v>13</v>
      </c>
      <c r="B24" s="7" t="s">
        <v>31</v>
      </c>
      <c r="C24" s="20">
        <v>2</v>
      </c>
      <c r="D24" s="20">
        <v>0.02</v>
      </c>
      <c r="E24" s="6">
        <f t="shared" ref="E24:E34" si="2">C24*D24</f>
        <v>0.04</v>
      </c>
      <c r="F24" s="19" t="s">
        <v>12</v>
      </c>
      <c r="G24" s="10">
        <v>6</v>
      </c>
      <c r="H24" s="10">
        <f t="shared" si="1"/>
        <v>12</v>
      </c>
    </row>
    <row r="25" spans="1:8" ht="15.75">
      <c r="A25" s="6">
        <v>14</v>
      </c>
      <c r="B25" s="7" t="s">
        <v>32</v>
      </c>
      <c r="C25" s="20">
        <v>1</v>
      </c>
      <c r="D25" s="21">
        <v>0.4</v>
      </c>
      <c r="E25" s="6">
        <f t="shared" si="2"/>
        <v>0.4</v>
      </c>
      <c r="F25" s="19" t="s">
        <v>12</v>
      </c>
      <c r="G25" s="10">
        <v>0</v>
      </c>
      <c r="H25" s="10">
        <f t="shared" si="1"/>
        <v>0</v>
      </c>
    </row>
    <row r="26" spans="1:8" ht="15.75">
      <c r="A26" s="6">
        <v>15</v>
      </c>
      <c r="B26" s="7" t="s">
        <v>33</v>
      </c>
      <c r="C26" s="20">
        <v>6</v>
      </c>
      <c r="D26" s="20">
        <v>0.01</v>
      </c>
      <c r="E26" s="6">
        <f t="shared" si="2"/>
        <v>0.06</v>
      </c>
      <c r="F26" s="19" t="s">
        <v>12</v>
      </c>
      <c r="G26" s="10">
        <v>1</v>
      </c>
      <c r="H26" s="10">
        <f t="shared" si="1"/>
        <v>6</v>
      </c>
    </row>
    <row r="27" spans="1:8" ht="15.75">
      <c r="A27" s="6">
        <v>16</v>
      </c>
      <c r="B27" s="7" t="s">
        <v>34</v>
      </c>
      <c r="C27" s="20">
        <v>6</v>
      </c>
      <c r="D27" s="20">
        <v>2.5</v>
      </c>
      <c r="E27" s="6">
        <f>C27*D27</f>
        <v>15</v>
      </c>
      <c r="F27" s="19" t="s">
        <v>12</v>
      </c>
      <c r="G27" s="10">
        <v>2</v>
      </c>
      <c r="H27" s="10">
        <f t="shared" si="1"/>
        <v>12</v>
      </c>
    </row>
    <row r="28" spans="1:8" ht="15.75">
      <c r="A28" s="6">
        <v>17</v>
      </c>
      <c r="B28" s="7" t="s">
        <v>71</v>
      </c>
      <c r="C28" s="20">
        <v>6</v>
      </c>
      <c r="D28" s="20">
        <v>0.112</v>
      </c>
      <c r="E28" s="6">
        <f>C28*D28</f>
        <v>0.67200000000000004</v>
      </c>
      <c r="F28" s="19" t="s">
        <v>12</v>
      </c>
      <c r="G28" s="10">
        <v>99</v>
      </c>
      <c r="H28" s="10">
        <f t="shared" si="1"/>
        <v>594</v>
      </c>
    </row>
    <row r="29" spans="1:8" ht="15.75">
      <c r="A29" s="6">
        <v>17</v>
      </c>
      <c r="B29" s="7" t="s">
        <v>35</v>
      </c>
      <c r="C29" s="20">
        <v>18</v>
      </c>
      <c r="D29" s="20">
        <v>2.5000000000000001E-2</v>
      </c>
      <c r="E29" s="6">
        <f t="shared" si="2"/>
        <v>0.45</v>
      </c>
      <c r="F29" s="19" t="s">
        <v>12</v>
      </c>
      <c r="G29" s="10">
        <v>11.5</v>
      </c>
      <c r="H29" s="10">
        <f t="shared" si="1"/>
        <v>207</v>
      </c>
    </row>
    <row r="30" spans="1:8" ht="15.75">
      <c r="A30" s="6">
        <v>18</v>
      </c>
      <c r="B30" s="7" t="s">
        <v>36</v>
      </c>
      <c r="C30" s="20">
        <v>12</v>
      </c>
      <c r="D30" s="20">
        <v>0.105</v>
      </c>
      <c r="E30" s="6">
        <f t="shared" si="2"/>
        <v>1.26</v>
      </c>
      <c r="F30" s="19" t="s">
        <v>12</v>
      </c>
      <c r="G30" s="10">
        <v>70</v>
      </c>
      <c r="H30" s="10">
        <f t="shared" ref="H30" si="3">E30*G30</f>
        <v>88.2</v>
      </c>
    </row>
    <row r="31" spans="1:8" ht="15.75">
      <c r="A31" s="6">
        <v>19</v>
      </c>
      <c r="B31" s="7" t="s">
        <v>70</v>
      </c>
      <c r="C31" s="20">
        <v>12</v>
      </c>
      <c r="D31" s="20">
        <v>2.5000000000000001E-2</v>
      </c>
      <c r="E31" s="6">
        <f t="shared" si="2"/>
        <v>0.30000000000000004</v>
      </c>
      <c r="F31" s="19" t="s">
        <v>12</v>
      </c>
      <c r="G31" s="10">
        <v>10.5</v>
      </c>
      <c r="H31" s="10">
        <f>C31*G31</f>
        <v>126</v>
      </c>
    </row>
    <row r="32" spans="1:8" ht="15.75">
      <c r="A32" s="6">
        <v>20</v>
      </c>
      <c r="B32" s="7" t="s">
        <v>37</v>
      </c>
      <c r="C32" s="20">
        <v>12</v>
      </c>
      <c r="D32" s="20">
        <v>5.0000000000000001E-3</v>
      </c>
      <c r="E32" s="6">
        <f>C32*D32</f>
        <v>0.06</v>
      </c>
      <c r="F32" s="19" t="s">
        <v>12</v>
      </c>
      <c r="G32" s="10">
        <v>1</v>
      </c>
      <c r="H32" s="10">
        <f>C32*G32</f>
        <v>12</v>
      </c>
    </row>
    <row r="33" spans="1:8" ht="15.75">
      <c r="A33" s="6">
        <v>21</v>
      </c>
      <c r="B33" s="7" t="s">
        <v>38</v>
      </c>
      <c r="C33" s="20">
        <v>12</v>
      </c>
      <c r="D33" s="20">
        <v>4.0000000000000001E-3</v>
      </c>
      <c r="E33" s="6">
        <f t="shared" si="2"/>
        <v>4.8000000000000001E-2</v>
      </c>
      <c r="F33" s="19" t="s">
        <v>12</v>
      </c>
      <c r="G33" s="10">
        <v>1.5</v>
      </c>
      <c r="H33" s="10">
        <f>C33*G33</f>
        <v>18</v>
      </c>
    </row>
    <row r="34" spans="1:8" ht="15.75">
      <c r="A34" s="6">
        <v>22</v>
      </c>
      <c r="B34" s="7" t="s">
        <v>39</v>
      </c>
      <c r="C34" s="20">
        <v>2</v>
      </c>
      <c r="D34" s="20">
        <v>0.01</v>
      </c>
      <c r="E34" s="6">
        <f t="shared" si="2"/>
        <v>0.02</v>
      </c>
      <c r="F34" s="19" t="s">
        <v>12</v>
      </c>
      <c r="G34" s="10">
        <v>1</v>
      </c>
      <c r="H34" s="10">
        <f>C34*G34</f>
        <v>2</v>
      </c>
    </row>
    <row r="35" spans="1:8" ht="15.75">
      <c r="A35" s="30" t="s">
        <v>40</v>
      </c>
      <c r="B35" s="30"/>
      <c r="C35" s="30"/>
      <c r="D35" s="30"/>
      <c r="E35" s="22">
        <f>E23+E24+E25+E26+E29+E30+E31+E32+E33+E34</f>
        <v>5.2379999999999995</v>
      </c>
      <c r="F35" s="19" t="s">
        <v>12</v>
      </c>
      <c r="G35" s="31">
        <f>SUM(H23:H34)</f>
        <v>1497.2</v>
      </c>
      <c r="H35" s="32"/>
    </row>
    <row r="36" spans="1:8" ht="15.75">
      <c r="A36" s="3" t="s">
        <v>41</v>
      </c>
      <c r="B36" s="23" t="s">
        <v>42</v>
      </c>
      <c r="C36" s="24">
        <v>21.8</v>
      </c>
      <c r="D36" s="20">
        <v>1.21</v>
      </c>
      <c r="E36" s="4">
        <f>C36*D36</f>
        <v>26.378</v>
      </c>
      <c r="F36" s="6" t="s">
        <v>43</v>
      </c>
      <c r="G36" s="25">
        <v>7</v>
      </c>
      <c r="H36" s="26">
        <f>E36*G36</f>
        <v>184.64600000000002</v>
      </c>
    </row>
    <row r="37" spans="1:8" ht="15.75">
      <c r="A37" s="3" t="s">
        <v>44</v>
      </c>
      <c r="B37" s="29" t="s">
        <v>45</v>
      </c>
      <c r="C37" s="29"/>
      <c r="D37" s="29"/>
      <c r="E37" s="29"/>
      <c r="F37" s="29"/>
      <c r="G37" s="10"/>
      <c r="H37" s="25">
        <f>SUM(H36)</f>
        <v>184.64600000000002</v>
      </c>
    </row>
    <row r="38" spans="1:8" ht="15.75">
      <c r="A38" s="6">
        <v>23</v>
      </c>
      <c r="B38" s="7" t="s">
        <v>46</v>
      </c>
      <c r="C38" s="20">
        <v>1</v>
      </c>
      <c r="D38" s="20">
        <v>1.6</v>
      </c>
      <c r="E38" s="6">
        <v>1.5</v>
      </c>
      <c r="F38" s="19" t="s">
        <v>12</v>
      </c>
      <c r="G38" s="10">
        <v>82.75</v>
      </c>
      <c r="H38" s="10">
        <f>C38*G38</f>
        <v>82.75</v>
      </c>
    </row>
    <row r="39" spans="1:8" ht="15.75">
      <c r="A39" s="6">
        <v>24</v>
      </c>
      <c r="B39" s="7" t="s">
        <v>47</v>
      </c>
      <c r="C39" s="20">
        <v>2</v>
      </c>
      <c r="D39" s="20">
        <v>2.5000000000000001E-2</v>
      </c>
      <c r="E39" s="6">
        <f t="shared" ref="E39:E50" si="4">C39*D39</f>
        <v>0.05</v>
      </c>
      <c r="F39" s="19" t="s">
        <v>12</v>
      </c>
      <c r="G39" s="10">
        <v>15</v>
      </c>
      <c r="H39" s="10">
        <f>C39*G39</f>
        <v>30</v>
      </c>
    </row>
    <row r="40" spans="1:8" ht="15.75">
      <c r="A40" s="6">
        <v>25</v>
      </c>
      <c r="B40" s="7" t="s">
        <v>48</v>
      </c>
      <c r="C40" s="20">
        <v>1</v>
      </c>
      <c r="D40" s="20">
        <v>0.15</v>
      </c>
      <c r="E40" s="6">
        <f>C40*D40</f>
        <v>0.15</v>
      </c>
      <c r="F40" s="19" t="s">
        <v>12</v>
      </c>
      <c r="G40" s="10">
        <v>49</v>
      </c>
      <c r="H40" s="10">
        <f t="shared" ref="H40:H50" si="5">C40*G40</f>
        <v>49</v>
      </c>
    </row>
    <row r="41" spans="1:8" ht="15.75">
      <c r="A41" s="6">
        <v>26</v>
      </c>
      <c r="B41" s="7" t="s">
        <v>49</v>
      </c>
      <c r="C41" s="20">
        <v>1</v>
      </c>
      <c r="D41" s="20">
        <v>0.03</v>
      </c>
      <c r="E41" s="6">
        <f t="shared" si="4"/>
        <v>0.03</v>
      </c>
      <c r="F41" s="19" t="s">
        <v>12</v>
      </c>
      <c r="G41" s="10">
        <v>10</v>
      </c>
      <c r="H41" s="10">
        <f t="shared" si="5"/>
        <v>10</v>
      </c>
    </row>
    <row r="42" spans="1:8" ht="15.75">
      <c r="A42" s="6">
        <v>27</v>
      </c>
      <c r="B42" s="7" t="s">
        <v>50</v>
      </c>
      <c r="C42" s="20">
        <v>2</v>
      </c>
      <c r="D42" s="20">
        <v>0.02</v>
      </c>
      <c r="E42" s="6">
        <f t="shared" si="4"/>
        <v>0.04</v>
      </c>
      <c r="F42" s="19" t="s">
        <v>12</v>
      </c>
      <c r="G42" s="10">
        <v>3.5</v>
      </c>
      <c r="H42" s="10">
        <f t="shared" si="5"/>
        <v>7</v>
      </c>
    </row>
    <row r="43" spans="1:8" ht="15.75">
      <c r="A43" s="6">
        <v>28</v>
      </c>
      <c r="B43" s="7" t="s">
        <v>51</v>
      </c>
      <c r="C43" s="20">
        <v>6</v>
      </c>
      <c r="D43" s="20">
        <v>0.06</v>
      </c>
      <c r="E43" s="6">
        <f t="shared" si="4"/>
        <v>0.36</v>
      </c>
      <c r="F43" s="19" t="s">
        <v>12</v>
      </c>
      <c r="G43" s="10">
        <v>4.25</v>
      </c>
      <c r="H43" s="10">
        <f t="shared" si="5"/>
        <v>25.5</v>
      </c>
    </row>
    <row r="44" spans="1:8" ht="15.75">
      <c r="A44" s="6">
        <v>29</v>
      </c>
      <c r="B44" s="7" t="s">
        <v>52</v>
      </c>
      <c r="C44" s="20">
        <v>3</v>
      </c>
      <c r="D44" s="20">
        <v>1.75E-4</v>
      </c>
      <c r="E44" s="6">
        <f t="shared" si="4"/>
        <v>5.2499999999999997E-4</v>
      </c>
      <c r="F44" s="19" t="s">
        <v>12</v>
      </c>
      <c r="G44" s="10">
        <v>1</v>
      </c>
      <c r="H44" s="10">
        <f t="shared" si="5"/>
        <v>3</v>
      </c>
    </row>
    <row r="45" spans="1:8" ht="15.75">
      <c r="A45" s="6">
        <v>30</v>
      </c>
      <c r="B45" s="7" t="s">
        <v>53</v>
      </c>
      <c r="C45" s="20">
        <v>2</v>
      </c>
      <c r="D45" s="20">
        <v>1.2E-4</v>
      </c>
      <c r="E45" s="6">
        <f>C45*D45</f>
        <v>2.4000000000000001E-4</v>
      </c>
      <c r="F45" s="19" t="s">
        <v>12</v>
      </c>
      <c r="G45" s="10">
        <v>1</v>
      </c>
      <c r="H45" s="10">
        <f t="shared" si="5"/>
        <v>2</v>
      </c>
    </row>
    <row r="46" spans="1:8" ht="15.75">
      <c r="A46" s="6">
        <v>31</v>
      </c>
      <c r="B46" s="7" t="s">
        <v>54</v>
      </c>
      <c r="C46" s="20">
        <v>1</v>
      </c>
      <c r="D46" s="20">
        <v>1.0699999999999999E-2</v>
      </c>
      <c r="E46" s="6">
        <f t="shared" si="4"/>
        <v>1.0699999999999999E-2</v>
      </c>
      <c r="F46" s="19" t="s">
        <v>12</v>
      </c>
      <c r="G46" s="10">
        <v>3</v>
      </c>
      <c r="H46" s="10">
        <f t="shared" si="5"/>
        <v>3</v>
      </c>
    </row>
    <row r="47" spans="1:8" ht="15.75">
      <c r="A47" s="6">
        <v>32</v>
      </c>
      <c r="B47" s="7" t="s">
        <v>55</v>
      </c>
      <c r="C47" s="27">
        <v>1</v>
      </c>
      <c r="D47" s="20">
        <v>6.0000000000000001E-3</v>
      </c>
      <c r="E47" s="6">
        <f t="shared" si="4"/>
        <v>6.0000000000000001E-3</v>
      </c>
      <c r="F47" s="19" t="s">
        <v>12</v>
      </c>
      <c r="G47" s="10">
        <v>1.25</v>
      </c>
      <c r="H47" s="10">
        <f t="shared" si="5"/>
        <v>1.25</v>
      </c>
    </row>
    <row r="48" spans="1:8" ht="15.75">
      <c r="A48" s="6">
        <v>33</v>
      </c>
      <c r="B48" s="7" t="s">
        <v>56</v>
      </c>
      <c r="C48" s="20">
        <v>1</v>
      </c>
      <c r="D48" s="20">
        <v>3.5000000000000003E-2</v>
      </c>
      <c r="E48" s="6">
        <f t="shared" si="4"/>
        <v>3.5000000000000003E-2</v>
      </c>
      <c r="F48" s="19" t="s">
        <v>12</v>
      </c>
      <c r="G48" s="10">
        <v>5</v>
      </c>
      <c r="H48" s="10">
        <f t="shared" si="5"/>
        <v>5</v>
      </c>
    </row>
    <row r="49" spans="1:8" ht="15.75">
      <c r="A49" s="6">
        <v>34</v>
      </c>
      <c r="B49" s="7" t="s">
        <v>57</v>
      </c>
      <c r="C49" s="20">
        <v>1</v>
      </c>
      <c r="D49" s="20">
        <v>5.9000000000000003E-4</v>
      </c>
      <c r="E49" s="6">
        <f t="shared" si="4"/>
        <v>5.9000000000000003E-4</v>
      </c>
      <c r="F49" s="19" t="s">
        <v>12</v>
      </c>
      <c r="G49" s="10">
        <v>1</v>
      </c>
      <c r="H49" s="10">
        <f t="shared" si="5"/>
        <v>1</v>
      </c>
    </row>
    <row r="50" spans="1:8" ht="15.75">
      <c r="A50" s="6">
        <v>35</v>
      </c>
      <c r="B50" s="7" t="s">
        <v>58</v>
      </c>
      <c r="C50" s="20">
        <v>2</v>
      </c>
      <c r="D50" s="20">
        <v>1.5250000000000001E-3</v>
      </c>
      <c r="E50" s="6">
        <f t="shared" si="4"/>
        <v>3.0500000000000002E-3</v>
      </c>
      <c r="F50" s="19" t="s">
        <v>12</v>
      </c>
      <c r="G50" s="10">
        <v>1</v>
      </c>
      <c r="H50" s="10">
        <f t="shared" si="5"/>
        <v>2</v>
      </c>
    </row>
    <row r="51" spans="1:8" ht="15.75">
      <c r="A51" s="29" t="s">
        <v>59</v>
      </c>
      <c r="B51" s="29"/>
      <c r="C51" s="29"/>
      <c r="D51" s="29"/>
      <c r="E51" s="4">
        <f>SUM(E38:E50)</f>
        <v>2.1861049999999995</v>
      </c>
      <c r="F51" s="19" t="s">
        <v>12</v>
      </c>
      <c r="G51" s="10"/>
      <c r="H51" s="25">
        <f>SUM(H38:H50)</f>
        <v>221.5</v>
      </c>
    </row>
    <row r="52" spans="1:8" ht="15.75">
      <c r="A52" s="33" t="s">
        <v>60</v>
      </c>
      <c r="B52" s="33"/>
      <c r="C52" s="33"/>
      <c r="D52" s="33"/>
      <c r="E52" s="16">
        <f>E35+E14+E21</f>
        <v>28.565999999999999</v>
      </c>
      <c r="F52" s="19" t="s">
        <v>12</v>
      </c>
      <c r="G52" s="34" t="s">
        <v>61</v>
      </c>
      <c r="H52" s="37">
        <f>H51+H37+G35+G21+G14+G10+H2</f>
        <v>6253.598</v>
      </c>
    </row>
    <row r="53" spans="1:8" ht="15.75">
      <c r="A53" s="33" t="s">
        <v>62</v>
      </c>
      <c r="B53" s="33"/>
      <c r="C53" s="33"/>
      <c r="D53" s="33"/>
      <c r="E53" s="16">
        <f>E52+E36</f>
        <v>54.944000000000003</v>
      </c>
      <c r="F53" s="19" t="s">
        <v>12</v>
      </c>
      <c r="G53" s="35"/>
      <c r="H53" s="38"/>
    </row>
    <row r="54" spans="1:8" ht="15.75">
      <c r="A54" s="40" t="s">
        <v>63</v>
      </c>
      <c r="B54" s="40"/>
      <c r="C54" s="40"/>
      <c r="D54" s="40"/>
      <c r="E54" s="28">
        <f>E53+E51</f>
        <v>57.130105</v>
      </c>
      <c r="F54" s="19" t="s">
        <v>12</v>
      </c>
      <c r="G54" s="36"/>
      <c r="H54" s="39"/>
    </row>
  </sheetData>
  <mergeCells count="31">
    <mergeCell ref="A1:H1"/>
    <mergeCell ref="A2:B2"/>
    <mergeCell ref="C2:D3"/>
    <mergeCell ref="E2:F3"/>
    <mergeCell ref="G2:G4"/>
    <mergeCell ref="H2:H4"/>
    <mergeCell ref="A3:B3"/>
    <mergeCell ref="A4:B4"/>
    <mergeCell ref="A21:D21"/>
    <mergeCell ref="G21:H21"/>
    <mergeCell ref="B5:F5"/>
    <mergeCell ref="G5:G6"/>
    <mergeCell ref="H5:H6"/>
    <mergeCell ref="C6:E6"/>
    <mergeCell ref="C10:E10"/>
    <mergeCell ref="G10:H10"/>
    <mergeCell ref="A14:D14"/>
    <mergeCell ref="G14:H14"/>
    <mergeCell ref="B15:F15"/>
    <mergeCell ref="B16:H16"/>
    <mergeCell ref="C20:D20"/>
    <mergeCell ref="A52:D52"/>
    <mergeCell ref="G52:G54"/>
    <mergeCell ref="H52:H54"/>
    <mergeCell ref="A53:D53"/>
    <mergeCell ref="A54:D54"/>
    <mergeCell ref="B22:F22"/>
    <mergeCell ref="A35:D35"/>
    <mergeCell ref="G35:H35"/>
    <mergeCell ref="B37:F37"/>
    <mergeCell ref="A51:D51"/>
  </mergeCells>
  <hyperlinks>
    <hyperlink ref="A3" r:id="rId1" display="140@c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2026-04-15T07:11:14Z</dcterms:modified>
</cp:coreProperties>
</file>